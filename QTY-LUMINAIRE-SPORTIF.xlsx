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lightcompanies-my.sharepoint.com/personal/pbosco_lightbase_ca/Documents/"/>
    </mc:Choice>
  </mc:AlternateContent>
  <xr:revisionPtr revIDLastSave="477" documentId="8_{959C7576-52A9-4BB5-9969-468FBAEF893C}" xr6:coauthVersionLast="47" xr6:coauthVersionMax="47" xr10:uidLastSave="{2BD0E24C-11F0-4373-9130-3827C76597BE}"/>
  <bookViews>
    <workbookView xWindow="-120" yWindow="-120" windowWidth="29040" windowHeight="15720" xr2:uid="{A4D2FD9D-8EE3-4394-8491-1D9C80CD92DA}"/>
  </bookViews>
  <sheets>
    <sheet name="Feuil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70" i="1" l="1"/>
  <c r="H65" i="1"/>
  <c r="G60" i="1"/>
  <c r="H60" i="1"/>
  <c r="F48" i="1"/>
  <c r="G48" i="1"/>
  <c r="H48" i="1"/>
  <c r="F49" i="1"/>
  <c r="G49" i="1"/>
  <c r="H49" i="1"/>
  <c r="F50" i="1"/>
  <c r="G50" i="1"/>
  <c r="H50" i="1"/>
  <c r="F51" i="1"/>
  <c r="G51" i="1"/>
  <c r="H51" i="1"/>
  <c r="F52" i="1"/>
  <c r="G52" i="1"/>
  <c r="H52" i="1"/>
  <c r="F53" i="1"/>
  <c r="G53" i="1"/>
  <c r="H53" i="1"/>
  <c r="F54" i="1"/>
  <c r="G54" i="1"/>
  <c r="H54" i="1"/>
  <c r="F55" i="1"/>
  <c r="G55" i="1"/>
  <c r="H55" i="1"/>
  <c r="F47" i="1"/>
  <c r="G47" i="1"/>
  <c r="H47" i="1"/>
  <c r="G38" i="1"/>
  <c r="H38" i="1"/>
  <c r="G39" i="1"/>
  <c r="H39" i="1"/>
  <c r="G40" i="1"/>
  <c r="H40" i="1"/>
  <c r="G41" i="1"/>
  <c r="H41" i="1"/>
  <c r="G42" i="1"/>
  <c r="H42" i="1"/>
  <c r="G37" i="1"/>
  <c r="H37" i="1"/>
  <c r="G26" i="1"/>
  <c r="F26" i="1"/>
  <c r="I26" i="1"/>
  <c r="F27" i="1"/>
  <c r="G27" i="1"/>
  <c r="F28" i="1"/>
  <c r="G28" i="1"/>
  <c r="F29" i="1"/>
  <c r="G29" i="1"/>
  <c r="F30" i="1"/>
  <c r="G30" i="1"/>
  <c r="F31" i="1"/>
  <c r="G31" i="1"/>
  <c r="F32" i="1"/>
  <c r="G32" i="1"/>
  <c r="H28" i="1"/>
  <c r="H29" i="1"/>
  <c r="H30" i="1"/>
  <c r="H31" i="1"/>
  <c r="H32" i="1"/>
  <c r="H27" i="1"/>
  <c r="F23" i="1"/>
  <c r="G23" i="1"/>
  <c r="F24" i="1"/>
  <c r="G24" i="1"/>
  <c r="F25" i="1"/>
  <c r="G25" i="1"/>
  <c r="H24" i="1"/>
  <c r="H25" i="1"/>
  <c r="H23" i="1"/>
  <c r="F17" i="1" l="1"/>
  <c r="G17" i="1"/>
  <c r="I17" i="1"/>
  <c r="F18" i="1"/>
  <c r="G18" i="1"/>
  <c r="H18" i="1"/>
  <c r="F16" i="1"/>
  <c r="G16" i="1"/>
  <c r="H16" i="1"/>
  <c r="F9" i="1"/>
  <c r="G9" i="1"/>
  <c r="I9" i="1"/>
  <c r="H10" i="1"/>
  <c r="F10" i="1"/>
  <c r="G10" i="1"/>
  <c r="F11" i="1"/>
  <c r="G11" i="1"/>
  <c r="H11" i="1"/>
  <c r="H8" i="1"/>
  <c r="F6" i="1"/>
  <c r="G6" i="1"/>
  <c r="F7" i="1"/>
  <c r="G7" i="1"/>
  <c r="F8" i="1"/>
  <c r="G8" i="1"/>
  <c r="H7" i="1"/>
  <c r="F5" i="1"/>
  <c r="G5" i="1"/>
  <c r="H6" i="1"/>
  <c r="H5" i="1"/>
  <c r="J55" i="1"/>
  <c r="J54" i="1"/>
  <c r="J53" i="1"/>
  <c r="J52" i="1"/>
  <c r="J51" i="1"/>
  <c r="J50" i="1"/>
  <c r="J60" i="1"/>
  <c r="J49" i="1"/>
  <c r="J48" i="1"/>
  <c r="J47" i="1"/>
  <c r="B55" i="1"/>
  <c r="L55" i="1"/>
  <c r="B42" i="1"/>
  <c r="L42" i="1"/>
  <c r="B32" i="1"/>
  <c r="L32" i="1"/>
  <c r="B31" i="1"/>
  <c r="L31" i="1"/>
  <c r="B30" i="1"/>
  <c r="L30" i="1"/>
  <c r="L54" i="1"/>
  <c r="B54" i="1"/>
  <c r="B29" i="1"/>
  <c r="L29" i="1"/>
  <c r="B28" i="1"/>
  <c r="L28" i="1"/>
  <c r="B41" i="1"/>
  <c r="L41" i="1"/>
  <c r="L18" i="1"/>
  <c r="B18" i="1"/>
  <c r="L53" i="1"/>
  <c r="B53" i="1"/>
  <c r="B52" i="1"/>
  <c r="L52" i="1"/>
  <c r="L40" i="1"/>
  <c r="B40" i="1"/>
  <c r="B11" i="1"/>
  <c r="L11" i="1"/>
  <c r="B51" i="1"/>
  <c r="L51" i="1"/>
  <c r="B27" i="1"/>
  <c r="L27" i="1"/>
  <c r="L50" i="1"/>
  <c r="B50" i="1"/>
  <c r="B60" i="1"/>
  <c r="L60" i="1"/>
  <c r="L39" i="1"/>
  <c r="B39" i="1"/>
  <c r="L70" i="1"/>
  <c r="B70" i="1"/>
  <c r="L49" i="1"/>
  <c r="B49" i="1"/>
  <c r="L17" i="1"/>
  <c r="B17" i="1"/>
  <c r="L65" i="1"/>
  <c r="B65" i="1"/>
  <c r="L48" i="1"/>
  <c r="B48" i="1"/>
  <c r="L7" i="1"/>
  <c r="L8" i="1"/>
  <c r="L9" i="1"/>
  <c r="L10" i="1"/>
  <c r="B7" i="1"/>
  <c r="B8" i="1"/>
  <c r="B9" i="1"/>
  <c r="B10" i="1"/>
  <c r="B47" i="1"/>
  <c r="L47" i="1"/>
  <c r="L38" i="1"/>
  <c r="B38" i="1"/>
  <c r="L26" i="1"/>
  <c r="B26" i="1"/>
  <c r="L25" i="1"/>
  <c r="B25" i="1"/>
  <c r="L37" i="1"/>
  <c r="B37" i="1"/>
  <c r="B24" i="1"/>
  <c r="L24" i="1"/>
  <c r="L23" i="1"/>
  <c r="B23" i="1"/>
  <c r="L6" i="1"/>
  <c r="B6" i="1"/>
  <c r="L5" i="1"/>
  <c r="L16" i="1"/>
  <c r="B16" i="1"/>
  <c r="B5" i="1"/>
</calcChain>
</file>

<file path=xl/sharedStrings.xml><?xml version="1.0" encoding="utf-8"?>
<sst xmlns="http://schemas.openxmlformats.org/spreadsheetml/2006/main" count="113" uniqueCount="20">
  <si>
    <t>Baseball</t>
  </si>
  <si>
    <t>Largeur</t>
  </si>
  <si>
    <t>Longeur</t>
  </si>
  <si>
    <t>I</t>
  </si>
  <si>
    <t>II</t>
  </si>
  <si>
    <t>III</t>
  </si>
  <si>
    <t>IV</t>
  </si>
  <si>
    <t>Pole</t>
  </si>
  <si>
    <t>Hauteur</t>
  </si>
  <si>
    <t>Standard Lux</t>
  </si>
  <si>
    <t>Aire</t>
  </si>
  <si>
    <t>Football</t>
  </si>
  <si>
    <t>Soccer</t>
  </si>
  <si>
    <t>Hockey</t>
  </si>
  <si>
    <t>X</t>
  </si>
  <si>
    <t>Tennis</t>
  </si>
  <si>
    <t>Volleyball</t>
  </si>
  <si>
    <t>Basketball</t>
  </si>
  <si>
    <t>Pickleball</t>
  </si>
  <si>
    <t>Illuminance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</si>
</sst>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89323-C61C-4086-B49E-D53446CBBFB8}">
  <dimension ref="B3:L70"/>
  <sheetViews>
    <sheetView tabSelected="1" zoomScale="85" zoomScaleNormal="85" workbookViewId="0">
      <selection activeCell="P54" sqref="P54"/>
    </sheetView>
  </sheetViews>
  <sheetFormatPr baseColWidth="10" defaultRowHeight="15" x14ac:dyDescent="0.25"/>
  <cols>
    <col min="2" max="2" width="21" bestFit="1" customWidth="1"/>
  </cols>
  <sheetData>
    <row r="3" spans="2:12" x14ac:dyDescent="0.25">
      <c r="B3" s="2" t="s">
        <v>0</v>
      </c>
      <c r="C3" s="2" t="s">
        <v>1</v>
      </c>
      <c r="D3" s="2" t="s">
        <v>2</v>
      </c>
      <c r="E3" s="2" t="s">
        <v>7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19</v>
      </c>
      <c r="K3" s="2" t="s">
        <v>8</v>
      </c>
      <c r="L3" s="2" t="s">
        <v>10</v>
      </c>
    </row>
    <row r="4" spans="2:12" x14ac:dyDescent="0.25">
      <c r="B4" s="3" t="s">
        <v>9</v>
      </c>
      <c r="C4" s="3"/>
      <c r="D4" s="3"/>
      <c r="E4" s="3"/>
      <c r="F4" s="3">
        <v>1500</v>
      </c>
      <c r="G4" s="3">
        <v>1000</v>
      </c>
      <c r="H4" s="3">
        <v>500</v>
      </c>
      <c r="I4" s="3">
        <v>300</v>
      </c>
      <c r="J4" s="3"/>
      <c r="K4" s="3"/>
      <c r="L4" s="3"/>
    </row>
    <row r="5" spans="2:12" x14ac:dyDescent="0.25">
      <c r="B5" t="str">
        <f>_xlfn.CONCAT(C5,"x",D5," (",E5," pole)")</f>
        <v>65x65 (8 pole)</v>
      </c>
      <c r="C5">
        <v>65</v>
      </c>
      <c r="D5">
        <v>65</v>
      </c>
      <c r="E5">
        <v>8</v>
      </c>
      <c r="F5">
        <f t="shared" ref="F5:G6" si="0">ROUNDUP(F$4/$J5*$I5,0)</f>
        <v>115</v>
      </c>
      <c r="G5">
        <f t="shared" si="0"/>
        <v>77</v>
      </c>
      <c r="H5">
        <f>ROUNDUP(H$4/$J5*$I5,0)</f>
        <v>39</v>
      </c>
      <c r="I5" s="1">
        <v>22</v>
      </c>
      <c r="J5" s="1">
        <v>288</v>
      </c>
      <c r="K5">
        <v>14</v>
      </c>
      <c r="L5">
        <f>(PI()*C5^2)/4</f>
        <v>3318.3072403542192</v>
      </c>
    </row>
    <row r="6" spans="2:12" x14ac:dyDescent="0.25">
      <c r="B6" t="str">
        <f>_xlfn.CONCAT(C6,"x",D6," (",E6," pole)")</f>
        <v>72x72 (4 pole)</v>
      </c>
      <c r="C6">
        <v>72</v>
      </c>
      <c r="D6">
        <v>72</v>
      </c>
      <c r="E6">
        <v>4</v>
      </c>
      <c r="F6">
        <f t="shared" si="0"/>
        <v>283</v>
      </c>
      <c r="G6">
        <f t="shared" si="0"/>
        <v>189</v>
      </c>
      <c r="H6">
        <f>ROUNDUP(H$4/$J6*$I6,0)</f>
        <v>95</v>
      </c>
      <c r="I6" s="1">
        <v>60</v>
      </c>
      <c r="J6" s="1">
        <v>319</v>
      </c>
      <c r="K6">
        <v>17</v>
      </c>
      <c r="L6">
        <f>(PI()*C6^2)/4</f>
        <v>4071.5040790523717</v>
      </c>
    </row>
    <row r="7" spans="2:12" x14ac:dyDescent="0.25">
      <c r="B7" t="str">
        <f t="shared" ref="B7:B11" si="1">_xlfn.CONCAT(C7,"x",D7," (",E7," pole)")</f>
        <v>69x69 (6 pole)</v>
      </c>
      <c r="C7">
        <v>69</v>
      </c>
      <c r="D7">
        <v>69</v>
      </c>
      <c r="E7">
        <v>6</v>
      </c>
      <c r="F7">
        <f t="shared" ref="F7:H8" si="2">ROUNDUP(F$4/$J7*$I7,0)</f>
        <v>176</v>
      </c>
      <c r="G7">
        <f t="shared" si="2"/>
        <v>118</v>
      </c>
      <c r="H7">
        <f t="shared" si="2"/>
        <v>59</v>
      </c>
      <c r="I7" s="1">
        <v>36</v>
      </c>
      <c r="J7" s="1">
        <v>307</v>
      </c>
      <c r="K7">
        <v>15</v>
      </c>
      <c r="L7">
        <f t="shared" ref="L7:L11" si="3">(PI()*C7^2)/4</f>
        <v>3739.2806559352512</v>
      </c>
    </row>
    <row r="8" spans="2:12" x14ac:dyDescent="0.25">
      <c r="B8" t="str">
        <f t="shared" si="1"/>
        <v>69x69 (6 pole)</v>
      </c>
      <c r="C8">
        <v>69</v>
      </c>
      <c r="D8">
        <v>69</v>
      </c>
      <c r="E8">
        <v>6</v>
      </c>
      <c r="F8">
        <f t="shared" si="2"/>
        <v>157</v>
      </c>
      <c r="G8">
        <f t="shared" si="2"/>
        <v>105</v>
      </c>
      <c r="H8">
        <f>ROUNDUP(H$4/$J8*$I8,0)</f>
        <v>53</v>
      </c>
      <c r="I8" s="1">
        <v>32</v>
      </c>
      <c r="J8" s="1">
        <v>306</v>
      </c>
      <c r="K8">
        <v>17</v>
      </c>
      <c r="L8">
        <f t="shared" si="3"/>
        <v>3739.2806559352512</v>
      </c>
    </row>
    <row r="9" spans="2:12" x14ac:dyDescent="0.25">
      <c r="B9" t="str">
        <f t="shared" si="1"/>
        <v>102x102 (6 pole)</v>
      </c>
      <c r="C9">
        <v>102</v>
      </c>
      <c r="D9">
        <v>102</v>
      </c>
      <c r="E9">
        <v>6</v>
      </c>
      <c r="F9">
        <f>ROUNDUP(F$4/$J9*$H9,0)</f>
        <v>310</v>
      </c>
      <c r="G9">
        <f>ROUNDUP(G$4/$J9*$H9,0)</f>
        <v>207</v>
      </c>
      <c r="H9" s="1">
        <v>103</v>
      </c>
      <c r="I9">
        <f>ROUNDUP(I$4/$J9*$H9,0)</f>
        <v>62</v>
      </c>
      <c r="J9" s="1">
        <v>499</v>
      </c>
      <c r="K9">
        <v>20</v>
      </c>
      <c r="L9">
        <f t="shared" si="3"/>
        <v>8171.2824919870518</v>
      </c>
    </row>
    <row r="10" spans="2:12" x14ac:dyDescent="0.25">
      <c r="B10" t="str">
        <f t="shared" si="1"/>
        <v>90x84 (8 pole)</v>
      </c>
      <c r="C10">
        <v>90</v>
      </c>
      <c r="D10">
        <v>84</v>
      </c>
      <c r="E10">
        <v>8</v>
      </c>
      <c r="F10">
        <f t="shared" ref="F10:G11" si="4">ROUNDUP(F$4/$J10*$I10,0)</f>
        <v>305</v>
      </c>
      <c r="G10">
        <f t="shared" si="4"/>
        <v>203</v>
      </c>
      <c r="H10">
        <f>ROUNDUP(H$4/$J10*$I10,0)</f>
        <v>102</v>
      </c>
      <c r="I10" s="1">
        <v>60</v>
      </c>
      <c r="J10" s="1">
        <v>296</v>
      </c>
      <c r="K10">
        <v>15</v>
      </c>
      <c r="L10">
        <f t="shared" si="3"/>
        <v>6361.7251235193307</v>
      </c>
    </row>
    <row r="11" spans="2:12" x14ac:dyDescent="0.25">
      <c r="B11" t="str">
        <f t="shared" si="1"/>
        <v>76x76 (9 pole)</v>
      </c>
      <c r="C11">
        <v>76</v>
      </c>
      <c r="D11">
        <v>76</v>
      </c>
      <c r="E11">
        <v>9</v>
      </c>
      <c r="F11">
        <f t="shared" si="4"/>
        <v>169</v>
      </c>
      <c r="G11">
        <f t="shared" si="4"/>
        <v>113</v>
      </c>
      <c r="H11">
        <f>ROUNDUP(H$4/$J11*$I11,0)</f>
        <v>57</v>
      </c>
      <c r="I11" s="1">
        <v>51</v>
      </c>
      <c r="J11" s="1">
        <v>453</v>
      </c>
      <c r="K11">
        <v>15</v>
      </c>
      <c r="L11">
        <f t="shared" si="3"/>
        <v>4536.4597917836609</v>
      </c>
    </row>
    <row r="14" spans="2:12" x14ac:dyDescent="0.25">
      <c r="B14" s="2" t="s">
        <v>11</v>
      </c>
      <c r="C14" s="2" t="s">
        <v>1</v>
      </c>
      <c r="D14" s="2" t="s">
        <v>2</v>
      </c>
      <c r="E14" s="2" t="s">
        <v>7</v>
      </c>
      <c r="F14" s="2" t="s">
        <v>3</v>
      </c>
      <c r="G14" s="2" t="s">
        <v>4</v>
      </c>
      <c r="H14" s="2" t="s">
        <v>5</v>
      </c>
      <c r="I14" s="2" t="s">
        <v>6</v>
      </c>
      <c r="J14" s="2" t="s">
        <v>19</v>
      </c>
      <c r="K14" s="2" t="s">
        <v>8</v>
      </c>
      <c r="L14" s="2" t="s">
        <v>10</v>
      </c>
    </row>
    <row r="15" spans="2:12" x14ac:dyDescent="0.25">
      <c r="B15" s="3" t="s">
        <v>9</v>
      </c>
      <c r="C15" s="3"/>
      <c r="D15" s="3"/>
      <c r="E15" s="3"/>
      <c r="F15" s="3">
        <v>1000</v>
      </c>
      <c r="G15" s="3">
        <v>500</v>
      </c>
      <c r="H15" s="3">
        <v>300</v>
      </c>
      <c r="I15" s="3">
        <v>200</v>
      </c>
      <c r="J15" s="3"/>
      <c r="K15" s="3"/>
      <c r="L15" s="3"/>
    </row>
    <row r="16" spans="2:12" x14ac:dyDescent="0.25">
      <c r="B16" t="str">
        <f>_xlfn.CONCAT(C16,"x",D16," (",E16," pole)")</f>
        <v>130x62 (10 pole)</v>
      </c>
      <c r="C16">
        <v>130</v>
      </c>
      <c r="D16">
        <v>62</v>
      </c>
      <c r="E16">
        <v>10</v>
      </c>
      <c r="F16">
        <f t="shared" ref="F16:G16" si="5">ROUNDUP(F$15/$J16*$I16,0)</f>
        <v>268</v>
      </c>
      <c r="G16">
        <f t="shared" si="5"/>
        <v>134</v>
      </c>
      <c r="H16">
        <f>ROUNDUP(H$15/$J16*$I16,0)</f>
        <v>81</v>
      </c>
      <c r="I16" s="1">
        <v>53</v>
      </c>
      <c r="J16" s="1">
        <v>198</v>
      </c>
      <c r="K16">
        <v>18</v>
      </c>
      <c r="L16">
        <f>C16*D16</f>
        <v>8060</v>
      </c>
    </row>
    <row r="17" spans="2:12" x14ac:dyDescent="0.25">
      <c r="B17" t="str">
        <f>_xlfn.CONCAT(C17,"x",D17," (",E17," pole)")</f>
        <v>138x60 (6 pole)</v>
      </c>
      <c r="C17">
        <v>138</v>
      </c>
      <c r="D17">
        <v>60</v>
      </c>
      <c r="E17">
        <v>6</v>
      </c>
      <c r="F17">
        <f>ROUNDUP(F$15/$J17*$H17,0)</f>
        <v>399</v>
      </c>
      <c r="G17">
        <f>ROUNDUP(G$15/$J17*$H17,0)</f>
        <v>200</v>
      </c>
      <c r="H17" s="1">
        <v>118</v>
      </c>
      <c r="I17">
        <f>ROUNDUP(I$15/$J17*$H17,0)</f>
        <v>80</v>
      </c>
      <c r="J17" s="1">
        <v>296</v>
      </c>
      <c r="K17">
        <v>19</v>
      </c>
      <c r="L17">
        <f>C17*D17</f>
        <v>8280</v>
      </c>
    </row>
    <row r="18" spans="2:12" x14ac:dyDescent="0.25">
      <c r="B18" t="str">
        <f>_xlfn.CONCAT(C18,"x",D18," (",E18," pole)")</f>
        <v>131x60 (6 pole)</v>
      </c>
      <c r="C18">
        <v>131</v>
      </c>
      <c r="D18">
        <v>60</v>
      </c>
      <c r="E18">
        <v>6</v>
      </c>
      <c r="F18">
        <f t="shared" ref="F18:G18" si="6">ROUNDUP(F$15/$J18*$I18,0)</f>
        <v>299</v>
      </c>
      <c r="G18">
        <f t="shared" si="6"/>
        <v>150</v>
      </c>
      <c r="H18">
        <f>ROUNDUP(H$15/$J18*$I18,0)</f>
        <v>90</v>
      </c>
      <c r="I18" s="1">
        <v>63</v>
      </c>
      <c r="J18" s="1">
        <v>211</v>
      </c>
      <c r="K18">
        <v>15</v>
      </c>
      <c r="L18">
        <f>C18*D18</f>
        <v>7860</v>
      </c>
    </row>
    <row r="21" spans="2:12" x14ac:dyDescent="0.25">
      <c r="B21" s="2" t="s">
        <v>12</v>
      </c>
      <c r="C21" s="2" t="s">
        <v>1</v>
      </c>
      <c r="D21" s="2" t="s">
        <v>2</v>
      </c>
      <c r="E21" s="2" t="s">
        <v>7</v>
      </c>
      <c r="F21" s="2" t="s">
        <v>3</v>
      </c>
      <c r="G21" s="2" t="s">
        <v>4</v>
      </c>
      <c r="H21" s="2" t="s">
        <v>5</v>
      </c>
      <c r="I21" s="2" t="s">
        <v>6</v>
      </c>
      <c r="J21" s="2" t="s">
        <v>19</v>
      </c>
      <c r="K21" s="2" t="s">
        <v>8</v>
      </c>
      <c r="L21" s="2" t="s">
        <v>10</v>
      </c>
    </row>
    <row r="22" spans="2:12" x14ac:dyDescent="0.25">
      <c r="B22" s="3" t="s">
        <v>9</v>
      </c>
      <c r="C22" s="3"/>
      <c r="D22" s="3"/>
      <c r="E22" s="3"/>
      <c r="F22" s="3">
        <v>750</v>
      </c>
      <c r="G22" s="3">
        <v>500</v>
      </c>
      <c r="H22" s="3">
        <v>300</v>
      </c>
      <c r="I22" s="3">
        <v>200</v>
      </c>
      <c r="J22" s="3"/>
      <c r="K22" s="3"/>
      <c r="L22" s="3"/>
    </row>
    <row r="23" spans="2:12" x14ac:dyDescent="0.25">
      <c r="B23" t="str">
        <f>_xlfn.CONCAT(C23,"x",D23," (",E23," pole)")</f>
        <v>73x48 (10 pole)</v>
      </c>
      <c r="C23">
        <v>73</v>
      </c>
      <c r="D23">
        <v>48</v>
      </c>
      <c r="E23">
        <v>10</v>
      </c>
      <c r="F23">
        <f t="shared" ref="F23:G23" si="7">ROUNDUP(F$22/$J23*$I23,0)</f>
        <v>100</v>
      </c>
      <c r="G23">
        <f t="shared" si="7"/>
        <v>67</v>
      </c>
      <c r="H23">
        <f>ROUNDUP(H$22/$J23*$I23,0)</f>
        <v>40</v>
      </c>
      <c r="I23" s="1">
        <v>24</v>
      </c>
      <c r="J23" s="1">
        <v>181</v>
      </c>
      <c r="K23">
        <v>13</v>
      </c>
      <c r="L23">
        <f>C23*D23</f>
        <v>3504</v>
      </c>
    </row>
    <row r="24" spans="2:12" x14ac:dyDescent="0.25">
      <c r="B24" t="str">
        <f>_xlfn.CONCAT(C24,"x",D24," (",E24," pole)")</f>
        <v>58x28 (4 pole)</v>
      </c>
      <c r="C24">
        <v>58</v>
      </c>
      <c r="D24">
        <v>28</v>
      </c>
      <c r="E24">
        <v>4</v>
      </c>
      <c r="F24">
        <f t="shared" ref="F24:I32" si="8">ROUNDUP(F$22/$J24*$I24,0)</f>
        <v>60</v>
      </c>
      <c r="G24">
        <f t="shared" si="8"/>
        <v>40</v>
      </c>
      <c r="H24">
        <f t="shared" si="8"/>
        <v>24</v>
      </c>
      <c r="I24" s="1">
        <v>17</v>
      </c>
      <c r="J24" s="1">
        <v>216</v>
      </c>
      <c r="K24">
        <v>10</v>
      </c>
      <c r="L24">
        <f>C24*D24</f>
        <v>1624</v>
      </c>
    </row>
    <row r="25" spans="2:12" x14ac:dyDescent="0.25">
      <c r="B25" t="str">
        <f>_xlfn.CONCAT(C25,"x",D25," (",E25," pole)")</f>
        <v>104x62 (5 pole)</v>
      </c>
      <c r="C25">
        <v>104</v>
      </c>
      <c r="D25">
        <v>62</v>
      </c>
      <c r="E25">
        <v>5</v>
      </c>
      <c r="F25">
        <f t="shared" si="8"/>
        <v>199</v>
      </c>
      <c r="G25">
        <f t="shared" si="8"/>
        <v>133</v>
      </c>
      <c r="H25">
        <f t="shared" si="8"/>
        <v>80</v>
      </c>
      <c r="I25" s="4">
        <v>57</v>
      </c>
      <c r="J25" s="4">
        <v>215</v>
      </c>
      <c r="K25">
        <v>21</v>
      </c>
      <c r="L25">
        <f>C25*D25</f>
        <v>6448</v>
      </c>
    </row>
    <row r="26" spans="2:12" x14ac:dyDescent="0.25">
      <c r="B26" t="str">
        <f>_xlfn.CONCAT(C26,"x",D26," (",E26," pole)")</f>
        <v>100x62 (6 pole)</v>
      </c>
      <c r="C26">
        <v>100</v>
      </c>
      <c r="D26">
        <v>62</v>
      </c>
      <c r="E26">
        <v>6</v>
      </c>
      <c r="F26">
        <f>ROUNDUP(F$22/$J26*$H26,0)</f>
        <v>172</v>
      </c>
      <c r="G26">
        <f>ROUNDUP(G$22/$J26*$H26,0)</f>
        <v>115</v>
      </c>
      <c r="H26" s="1">
        <v>70</v>
      </c>
      <c r="I26">
        <f>ROUNDUP(I$22/$J26*$H26,0)</f>
        <v>46</v>
      </c>
      <c r="J26" s="1">
        <v>306</v>
      </c>
      <c r="K26">
        <v>21</v>
      </c>
      <c r="L26">
        <f>C26*D26</f>
        <v>6200</v>
      </c>
    </row>
    <row r="27" spans="2:12" x14ac:dyDescent="0.25">
      <c r="B27" t="str">
        <f>_xlfn.CONCAT(C27,"x",D27," (",E27," pole)")</f>
        <v>84x50 (7 pole)</v>
      </c>
      <c r="C27">
        <v>84</v>
      </c>
      <c r="D27">
        <v>50</v>
      </c>
      <c r="E27">
        <v>7</v>
      </c>
      <c r="F27">
        <f t="shared" si="8"/>
        <v>115</v>
      </c>
      <c r="G27">
        <f t="shared" si="8"/>
        <v>77</v>
      </c>
      <c r="H27">
        <f t="shared" si="8"/>
        <v>46</v>
      </c>
      <c r="I27" s="1">
        <v>28</v>
      </c>
      <c r="J27" s="1">
        <v>184</v>
      </c>
      <c r="K27">
        <v>15</v>
      </c>
      <c r="L27">
        <f>C27*D27</f>
        <v>4200</v>
      </c>
    </row>
    <row r="28" spans="2:12" x14ac:dyDescent="0.25">
      <c r="B28" t="str">
        <f>_xlfn.CONCAT(C28,"x",D28," (",E28," pole)")</f>
        <v>101x65 (6 pole)</v>
      </c>
      <c r="C28">
        <v>101</v>
      </c>
      <c r="D28">
        <v>65</v>
      </c>
      <c r="E28">
        <v>6</v>
      </c>
      <c r="F28">
        <f t="shared" si="8"/>
        <v>175</v>
      </c>
      <c r="G28">
        <f t="shared" si="8"/>
        <v>117</v>
      </c>
      <c r="H28">
        <f t="shared" si="8"/>
        <v>70</v>
      </c>
      <c r="I28" s="1">
        <v>43</v>
      </c>
      <c r="J28" s="1">
        <v>185</v>
      </c>
      <c r="K28">
        <v>15</v>
      </c>
      <c r="L28">
        <f>C28*D28</f>
        <v>6565</v>
      </c>
    </row>
    <row r="29" spans="2:12" x14ac:dyDescent="0.25">
      <c r="B29" t="str">
        <f>_xlfn.CONCAT(C29,"x",D29," (",E29," pole)")</f>
        <v>105x63 (6 pole)</v>
      </c>
      <c r="C29">
        <v>105</v>
      </c>
      <c r="D29">
        <v>63</v>
      </c>
      <c r="E29">
        <v>6</v>
      </c>
      <c r="F29">
        <f t="shared" si="8"/>
        <v>175</v>
      </c>
      <c r="G29">
        <f t="shared" si="8"/>
        <v>117</v>
      </c>
      <c r="H29">
        <f t="shared" si="8"/>
        <v>70</v>
      </c>
      <c r="I29" s="1">
        <v>42</v>
      </c>
      <c r="J29" s="1">
        <v>180</v>
      </c>
      <c r="K29">
        <v>21</v>
      </c>
      <c r="L29">
        <f>C29*D29</f>
        <v>6615</v>
      </c>
    </row>
    <row r="30" spans="2:12" x14ac:dyDescent="0.25">
      <c r="B30" t="str">
        <f>_xlfn.CONCAT(C30,"x",D30," (",E30," pole)")</f>
        <v>99x56 (6 pole)</v>
      </c>
      <c r="C30">
        <v>99</v>
      </c>
      <c r="D30">
        <v>56</v>
      </c>
      <c r="E30">
        <v>6</v>
      </c>
      <c r="F30">
        <f t="shared" si="8"/>
        <v>126</v>
      </c>
      <c r="G30">
        <f t="shared" si="8"/>
        <v>84</v>
      </c>
      <c r="H30">
        <f t="shared" si="8"/>
        <v>51</v>
      </c>
      <c r="I30" s="1">
        <v>33</v>
      </c>
      <c r="J30" s="1">
        <v>197</v>
      </c>
      <c r="K30">
        <v>12</v>
      </c>
      <c r="L30">
        <f>C30*D30</f>
        <v>5544</v>
      </c>
    </row>
    <row r="31" spans="2:12" x14ac:dyDescent="0.25">
      <c r="B31" t="str">
        <f>_xlfn.CONCAT(C31,"x",D31," (",E31," pole)")</f>
        <v>68x48 (3 pole)</v>
      </c>
      <c r="C31">
        <v>68</v>
      </c>
      <c r="D31">
        <v>48</v>
      </c>
      <c r="E31">
        <v>3</v>
      </c>
      <c r="F31">
        <f t="shared" si="8"/>
        <v>71</v>
      </c>
      <c r="G31">
        <f t="shared" si="8"/>
        <v>47</v>
      </c>
      <c r="H31">
        <f t="shared" si="8"/>
        <v>29</v>
      </c>
      <c r="I31" s="1">
        <v>20</v>
      </c>
      <c r="J31" s="1">
        <v>214</v>
      </c>
      <c r="K31">
        <v>12</v>
      </c>
      <c r="L31">
        <f>C31*D31</f>
        <v>3264</v>
      </c>
    </row>
    <row r="32" spans="2:12" x14ac:dyDescent="0.25">
      <c r="B32" t="str">
        <f>_xlfn.CONCAT(C32,"x",D32," (",E32," pole)")</f>
        <v>57x38 (3 pole)</v>
      </c>
      <c r="C32">
        <v>57</v>
      </c>
      <c r="D32">
        <v>38</v>
      </c>
      <c r="E32">
        <v>3</v>
      </c>
      <c r="F32">
        <f t="shared" si="8"/>
        <v>57</v>
      </c>
      <c r="G32">
        <f t="shared" si="8"/>
        <v>38</v>
      </c>
      <c r="H32">
        <f t="shared" si="8"/>
        <v>23</v>
      </c>
      <c r="I32" s="1">
        <v>16</v>
      </c>
      <c r="J32" s="1">
        <v>211</v>
      </c>
      <c r="K32">
        <v>12</v>
      </c>
      <c r="L32">
        <f>C32*D32</f>
        <v>2166</v>
      </c>
    </row>
    <row r="35" spans="2:12" x14ac:dyDescent="0.25">
      <c r="B35" s="2" t="s">
        <v>13</v>
      </c>
      <c r="C35" s="2" t="s">
        <v>1</v>
      </c>
      <c r="D35" s="2" t="s">
        <v>2</v>
      </c>
      <c r="E35" s="2" t="s">
        <v>7</v>
      </c>
      <c r="F35" s="2" t="s">
        <v>3</v>
      </c>
      <c r="G35" s="2" t="s">
        <v>4</v>
      </c>
      <c r="H35" s="2" t="s">
        <v>5</v>
      </c>
      <c r="I35" s="2" t="s">
        <v>6</v>
      </c>
      <c r="J35" s="2" t="s">
        <v>19</v>
      </c>
      <c r="K35" s="2" t="s">
        <v>8</v>
      </c>
      <c r="L35" s="2" t="s">
        <v>10</v>
      </c>
    </row>
    <row r="36" spans="2:12" x14ac:dyDescent="0.25">
      <c r="B36" s="3" t="s">
        <v>9</v>
      </c>
      <c r="C36" s="3"/>
      <c r="D36" s="3"/>
      <c r="E36" s="3"/>
      <c r="F36" s="3" t="s">
        <v>14</v>
      </c>
      <c r="G36" s="3">
        <v>500</v>
      </c>
      <c r="H36" s="3">
        <v>300</v>
      </c>
      <c r="I36" s="3">
        <v>200</v>
      </c>
      <c r="J36" s="3"/>
      <c r="K36" s="3"/>
      <c r="L36" s="3"/>
    </row>
    <row r="37" spans="2:12" x14ac:dyDescent="0.25">
      <c r="B37" t="str">
        <f>_xlfn.CONCAT(C37,"x",D37," (",E37," pole)")</f>
        <v>62x26 (4 pole)</v>
      </c>
      <c r="C37">
        <v>62</v>
      </c>
      <c r="D37">
        <v>26</v>
      </c>
      <c r="E37">
        <v>4</v>
      </c>
      <c r="F37" t="s">
        <v>14</v>
      </c>
      <c r="G37">
        <f>ROUNDUP(G$36/$J37*$I37,0)</f>
        <v>33</v>
      </c>
      <c r="H37">
        <f>ROUNDUP(H$36/$J37*$I37,0)</f>
        <v>20</v>
      </c>
      <c r="I37" s="1">
        <v>14</v>
      </c>
      <c r="J37" s="1">
        <v>213</v>
      </c>
      <c r="K37">
        <v>17</v>
      </c>
      <c r="L37">
        <f>C37*D37</f>
        <v>1612</v>
      </c>
    </row>
    <row r="38" spans="2:12" x14ac:dyDescent="0.25">
      <c r="B38" t="str">
        <f>_xlfn.CONCAT(C38,"x",D38," (",E38," pole)")</f>
        <v>50x25 (4 pole)</v>
      </c>
      <c r="C38">
        <v>50</v>
      </c>
      <c r="D38">
        <v>25</v>
      </c>
      <c r="E38">
        <v>4</v>
      </c>
      <c r="F38" t="s">
        <v>14</v>
      </c>
      <c r="G38">
        <f t="shared" ref="G38:H42" si="9">ROUNDUP(G$36/$J38*$I38,0)</f>
        <v>26</v>
      </c>
      <c r="H38">
        <f t="shared" si="9"/>
        <v>16</v>
      </c>
      <c r="I38" s="1">
        <v>11</v>
      </c>
      <c r="J38" s="1">
        <v>214</v>
      </c>
      <c r="K38">
        <v>12</v>
      </c>
      <c r="L38">
        <f>C38*D38</f>
        <v>1250</v>
      </c>
    </row>
    <row r="39" spans="2:12" x14ac:dyDescent="0.25">
      <c r="B39" t="str">
        <f>_xlfn.CONCAT(C39,"x",D39," (",E39," pole)")</f>
        <v>40x17 (2 pole)</v>
      </c>
      <c r="C39">
        <v>40</v>
      </c>
      <c r="D39">
        <v>17</v>
      </c>
      <c r="E39">
        <v>2</v>
      </c>
      <c r="F39" t="s">
        <v>14</v>
      </c>
      <c r="G39">
        <f t="shared" si="9"/>
        <v>16</v>
      </c>
      <c r="H39">
        <f t="shared" si="9"/>
        <v>10</v>
      </c>
      <c r="I39" s="4">
        <v>6</v>
      </c>
      <c r="J39" s="4">
        <v>196</v>
      </c>
      <c r="K39">
        <v>12</v>
      </c>
      <c r="L39">
        <f>C39*D39</f>
        <v>680</v>
      </c>
    </row>
    <row r="40" spans="2:12" x14ac:dyDescent="0.25">
      <c r="B40" t="str">
        <f>_xlfn.CONCAT(C40,"x",D40," (",E40," pole)")</f>
        <v>46x20 (6 pole)</v>
      </c>
      <c r="C40">
        <v>46</v>
      </c>
      <c r="D40">
        <v>20</v>
      </c>
      <c r="E40">
        <v>6</v>
      </c>
      <c r="F40" t="s">
        <v>14</v>
      </c>
      <c r="G40">
        <f t="shared" si="9"/>
        <v>21</v>
      </c>
      <c r="H40">
        <f t="shared" si="9"/>
        <v>13</v>
      </c>
      <c r="I40" s="1">
        <v>8</v>
      </c>
      <c r="J40" s="1">
        <v>193</v>
      </c>
      <c r="K40">
        <v>8</v>
      </c>
      <c r="L40">
        <f>C40*D40</f>
        <v>920</v>
      </c>
    </row>
    <row r="41" spans="2:12" x14ac:dyDescent="0.25">
      <c r="B41" t="str">
        <f>_xlfn.CONCAT(C41,"x",D41," (",E41," pole)")</f>
        <v>40x16 (4 pole)</v>
      </c>
      <c r="C41">
        <v>40</v>
      </c>
      <c r="D41">
        <v>16</v>
      </c>
      <c r="E41">
        <v>4</v>
      </c>
      <c r="F41" t="s">
        <v>14</v>
      </c>
      <c r="G41">
        <f t="shared" si="9"/>
        <v>17</v>
      </c>
      <c r="H41">
        <f t="shared" si="9"/>
        <v>10</v>
      </c>
      <c r="I41" s="4">
        <v>8</v>
      </c>
      <c r="J41" s="4">
        <v>243</v>
      </c>
      <c r="K41">
        <v>8.5</v>
      </c>
      <c r="L41">
        <f>C41*D41</f>
        <v>640</v>
      </c>
    </row>
    <row r="42" spans="2:12" x14ac:dyDescent="0.25">
      <c r="B42" t="str">
        <f>_xlfn.CONCAT(C42,"x",D42," (",E42," pole)")</f>
        <v>53x22 (4 pole)</v>
      </c>
      <c r="C42">
        <v>53</v>
      </c>
      <c r="D42">
        <v>22</v>
      </c>
      <c r="E42">
        <v>4</v>
      </c>
      <c r="F42" t="s">
        <v>14</v>
      </c>
      <c r="G42">
        <f t="shared" si="9"/>
        <v>24</v>
      </c>
      <c r="H42">
        <f t="shared" si="9"/>
        <v>15</v>
      </c>
      <c r="I42" s="1">
        <v>9</v>
      </c>
      <c r="J42" s="1">
        <v>192</v>
      </c>
      <c r="K42">
        <v>8</v>
      </c>
      <c r="L42">
        <f>C42*D42</f>
        <v>1166</v>
      </c>
    </row>
    <row r="45" spans="2:12" x14ac:dyDescent="0.25">
      <c r="B45" s="2" t="s">
        <v>15</v>
      </c>
      <c r="C45" s="2" t="s">
        <v>1</v>
      </c>
      <c r="D45" s="2" t="s">
        <v>2</v>
      </c>
      <c r="E45" s="2" t="s">
        <v>7</v>
      </c>
      <c r="F45" s="2" t="s">
        <v>3</v>
      </c>
      <c r="G45" s="2" t="s">
        <v>4</v>
      </c>
      <c r="H45" s="2" t="s">
        <v>5</v>
      </c>
      <c r="I45" s="2" t="s">
        <v>6</v>
      </c>
      <c r="J45" s="2" t="s">
        <v>19</v>
      </c>
      <c r="K45" s="2" t="s">
        <v>8</v>
      </c>
      <c r="L45" s="2" t="s">
        <v>10</v>
      </c>
    </row>
    <row r="46" spans="2:12" x14ac:dyDescent="0.25">
      <c r="B46" s="3" t="s">
        <v>9</v>
      </c>
      <c r="C46" s="3"/>
      <c r="D46" s="3"/>
      <c r="E46" s="3"/>
      <c r="F46" s="3">
        <v>1250</v>
      </c>
      <c r="G46" s="3">
        <v>750</v>
      </c>
      <c r="H46" s="3">
        <v>500</v>
      </c>
      <c r="I46" s="3">
        <v>300</v>
      </c>
      <c r="J46" s="3"/>
      <c r="K46" s="3"/>
      <c r="L46" s="3"/>
    </row>
    <row r="47" spans="2:12" x14ac:dyDescent="0.25">
      <c r="B47" t="str">
        <f>_xlfn.CONCAT(C47,"x",D47," (2 court) (",E47," pole)")</f>
        <v>32x36 (2 court) (4 pole)</v>
      </c>
      <c r="C47">
        <v>32</v>
      </c>
      <c r="D47">
        <v>36</v>
      </c>
      <c r="E47">
        <v>4</v>
      </c>
      <c r="F47">
        <f t="shared" ref="F47:H55" si="10">ROUNDUP(F$46/$J47*$I47,0)</f>
        <v>52</v>
      </c>
      <c r="G47">
        <f t="shared" si="10"/>
        <v>31</v>
      </c>
      <c r="H47">
        <f>ROUNDUP(H$46/$J47*$I47,0)</f>
        <v>21</v>
      </c>
      <c r="I47" s="1">
        <v>12</v>
      </c>
      <c r="J47" s="1">
        <f>AVERAGE(294,290)</f>
        <v>292</v>
      </c>
      <c r="K47">
        <v>8</v>
      </c>
      <c r="L47">
        <f>C47*D47</f>
        <v>1152</v>
      </c>
    </row>
    <row r="48" spans="2:12" x14ac:dyDescent="0.25">
      <c r="B48" t="str">
        <f>_xlfn.CONCAT(C48,"x",D48," (4 court) (",E48," pole)")</f>
        <v>82x37 (4 court) (6 pole)</v>
      </c>
      <c r="C48">
        <v>82</v>
      </c>
      <c r="D48">
        <v>37</v>
      </c>
      <c r="E48">
        <v>6</v>
      </c>
      <c r="F48">
        <f t="shared" si="10"/>
        <v>117</v>
      </c>
      <c r="G48">
        <f t="shared" si="10"/>
        <v>71</v>
      </c>
      <c r="H48">
        <f t="shared" si="10"/>
        <v>47</v>
      </c>
      <c r="I48" s="1">
        <v>27</v>
      </c>
      <c r="J48" s="1">
        <f>AVERAGE(287,297,286,285)</f>
        <v>288.75</v>
      </c>
      <c r="K48">
        <v>10</v>
      </c>
      <c r="L48">
        <f>C48*D48</f>
        <v>3034</v>
      </c>
    </row>
    <row r="49" spans="2:12" x14ac:dyDescent="0.25">
      <c r="B49" t="str">
        <f>_xlfn.CONCAT(C49,"x",D49," (2 court) (",E49," pole)")</f>
        <v>32x34 (2 court) (4 pole)</v>
      </c>
      <c r="C49">
        <v>32</v>
      </c>
      <c r="D49">
        <v>34</v>
      </c>
      <c r="E49">
        <v>4</v>
      </c>
      <c r="F49">
        <f t="shared" si="10"/>
        <v>54</v>
      </c>
      <c r="G49">
        <f t="shared" si="10"/>
        <v>32</v>
      </c>
      <c r="H49">
        <f t="shared" si="10"/>
        <v>22</v>
      </c>
      <c r="I49" s="1">
        <v>12</v>
      </c>
      <c r="J49" s="1">
        <f>AVERAGE(283,280)</f>
        <v>281.5</v>
      </c>
      <c r="K49">
        <v>12</v>
      </c>
      <c r="L49">
        <f>C49*D49</f>
        <v>1088</v>
      </c>
    </row>
    <row r="50" spans="2:12" x14ac:dyDescent="0.25">
      <c r="B50" t="str">
        <f>_xlfn.CONCAT(C50,"x",D50," (3 court) (",E50," pole)")</f>
        <v>52x36 (3 court) (4 pole)</v>
      </c>
      <c r="C50">
        <v>52</v>
      </c>
      <c r="D50">
        <v>36</v>
      </c>
      <c r="E50">
        <v>4</v>
      </c>
      <c r="F50">
        <f t="shared" si="10"/>
        <v>81</v>
      </c>
      <c r="G50">
        <f t="shared" si="10"/>
        <v>49</v>
      </c>
      <c r="H50">
        <f t="shared" si="10"/>
        <v>33</v>
      </c>
      <c r="I50" s="1">
        <v>19</v>
      </c>
      <c r="J50" s="1">
        <f>AVERAGE(307,279,299)</f>
        <v>295</v>
      </c>
      <c r="K50">
        <v>12</v>
      </c>
      <c r="L50">
        <f>C50*D50</f>
        <v>1872</v>
      </c>
    </row>
    <row r="51" spans="2:12" x14ac:dyDescent="0.25">
      <c r="B51" t="str">
        <f>_xlfn.CONCAT(C51,"x",D51," (2 court) (",E51," pole)")</f>
        <v>32x36 (2 court) (4 pole)</v>
      </c>
      <c r="C51">
        <v>32</v>
      </c>
      <c r="D51">
        <v>36</v>
      </c>
      <c r="E51">
        <v>4</v>
      </c>
      <c r="F51">
        <f t="shared" si="10"/>
        <v>47</v>
      </c>
      <c r="G51">
        <f t="shared" si="10"/>
        <v>29</v>
      </c>
      <c r="H51">
        <f t="shared" si="10"/>
        <v>19</v>
      </c>
      <c r="I51" s="1">
        <v>11</v>
      </c>
      <c r="J51" s="1">
        <f>AVERAGE(292,295)</f>
        <v>293.5</v>
      </c>
      <c r="K51">
        <v>11</v>
      </c>
      <c r="L51">
        <f>C51*D51</f>
        <v>1152</v>
      </c>
    </row>
    <row r="52" spans="2:12" x14ac:dyDescent="0.25">
      <c r="B52" t="str">
        <f>_xlfn.CONCAT(C52,"x",D52," (2 court) (",E52," pole)")</f>
        <v>32x36 (2 court) (4 pole)</v>
      </c>
      <c r="C52">
        <v>32</v>
      </c>
      <c r="D52">
        <v>36</v>
      </c>
      <c r="E52">
        <v>4</v>
      </c>
      <c r="F52">
        <f t="shared" si="10"/>
        <v>45</v>
      </c>
      <c r="G52">
        <f t="shared" si="10"/>
        <v>27</v>
      </c>
      <c r="H52">
        <f t="shared" si="10"/>
        <v>18</v>
      </c>
      <c r="I52" s="1">
        <v>11</v>
      </c>
      <c r="J52" s="1">
        <f>AVERAGE(320,297)</f>
        <v>308.5</v>
      </c>
      <c r="K52">
        <v>11</v>
      </c>
      <c r="L52">
        <f>C52*D52</f>
        <v>1152</v>
      </c>
    </row>
    <row r="53" spans="2:12" x14ac:dyDescent="0.25">
      <c r="B53" t="str">
        <f>_xlfn.CONCAT(C53,"x",D53," (2 court) (",E53," pole)")</f>
        <v>35x36 (2 court) (4 pole)</v>
      </c>
      <c r="C53">
        <v>35</v>
      </c>
      <c r="D53">
        <v>36</v>
      </c>
      <c r="E53">
        <v>4</v>
      </c>
      <c r="F53">
        <f t="shared" si="10"/>
        <v>47</v>
      </c>
      <c r="G53">
        <f t="shared" si="10"/>
        <v>28</v>
      </c>
      <c r="H53">
        <f t="shared" si="10"/>
        <v>19</v>
      </c>
      <c r="I53" s="1">
        <v>11</v>
      </c>
      <c r="J53" s="1">
        <f>AVERAGE(307,288)</f>
        <v>297.5</v>
      </c>
      <c r="K53">
        <v>11</v>
      </c>
      <c r="L53">
        <f>C53*D53</f>
        <v>1260</v>
      </c>
    </row>
    <row r="54" spans="2:12" x14ac:dyDescent="0.25">
      <c r="B54" t="str">
        <f>_xlfn.CONCAT(C54,"x",D54," (4 court) (",E54," pole)")</f>
        <v>69x36 (4 court) (9 pole)</v>
      </c>
      <c r="C54">
        <v>69</v>
      </c>
      <c r="D54">
        <v>36</v>
      </c>
      <c r="E54">
        <v>9</v>
      </c>
      <c r="F54">
        <f t="shared" si="10"/>
        <v>92</v>
      </c>
      <c r="G54">
        <f t="shared" si="10"/>
        <v>55</v>
      </c>
      <c r="H54">
        <f t="shared" si="10"/>
        <v>37</v>
      </c>
      <c r="I54" s="1">
        <v>23</v>
      </c>
      <c r="J54" s="1">
        <f>AVERAGE(323,301,311,326)</f>
        <v>315.25</v>
      </c>
      <c r="K54">
        <v>12.5</v>
      </c>
      <c r="L54">
        <f>C54*D54</f>
        <v>2484</v>
      </c>
    </row>
    <row r="55" spans="2:12" x14ac:dyDescent="0.25">
      <c r="B55" t="str">
        <f>_xlfn.CONCAT(C55,"x",D55," (2 court) (",E55," pole)")</f>
        <v>32x36 (2 court) (4 pole)</v>
      </c>
      <c r="C55">
        <v>32</v>
      </c>
      <c r="D55">
        <v>36</v>
      </c>
      <c r="E55">
        <v>4</v>
      </c>
      <c r="F55">
        <f t="shared" si="10"/>
        <v>49</v>
      </c>
      <c r="G55">
        <f t="shared" si="10"/>
        <v>30</v>
      </c>
      <c r="H55">
        <f t="shared" si="10"/>
        <v>20</v>
      </c>
      <c r="I55" s="1">
        <v>12</v>
      </c>
      <c r="J55" s="1">
        <f>AVERAGE(315,298)</f>
        <v>306.5</v>
      </c>
      <c r="K55">
        <v>9.5</v>
      </c>
      <c r="L55">
        <f>C55*D55</f>
        <v>1152</v>
      </c>
    </row>
    <row r="56" spans="2:12" x14ac:dyDescent="0.25">
      <c r="I56" s="5"/>
      <c r="J56" s="5"/>
    </row>
    <row r="58" spans="2:12" x14ac:dyDescent="0.25">
      <c r="B58" s="2" t="s">
        <v>18</v>
      </c>
      <c r="C58" s="2" t="s">
        <v>1</v>
      </c>
      <c r="D58" s="2" t="s">
        <v>2</v>
      </c>
      <c r="E58" s="2" t="s">
        <v>7</v>
      </c>
      <c r="F58" s="2" t="s">
        <v>3</v>
      </c>
      <c r="G58" s="2" t="s">
        <v>4</v>
      </c>
      <c r="H58" s="2" t="s">
        <v>5</v>
      </c>
      <c r="I58" s="2" t="s">
        <v>6</v>
      </c>
      <c r="J58" s="2" t="s">
        <v>19</v>
      </c>
      <c r="K58" s="2" t="s">
        <v>8</v>
      </c>
      <c r="L58" s="2" t="s">
        <v>10</v>
      </c>
    </row>
    <row r="59" spans="2:12" x14ac:dyDescent="0.25">
      <c r="B59" s="3" t="s">
        <v>9</v>
      </c>
      <c r="C59" s="3"/>
      <c r="D59" s="3"/>
      <c r="E59" s="3"/>
      <c r="F59" s="3" t="s">
        <v>14</v>
      </c>
      <c r="G59" s="3">
        <v>750</v>
      </c>
      <c r="H59" s="3">
        <v>500</v>
      </c>
      <c r="I59" s="3">
        <v>300</v>
      </c>
      <c r="J59" s="3"/>
      <c r="K59" s="3"/>
      <c r="L59" s="3"/>
    </row>
    <row r="60" spans="2:12" x14ac:dyDescent="0.25">
      <c r="B60" t="str">
        <f>_xlfn.CONCAT(C60,"x",D60," (4 court) (",E60," pole)")</f>
        <v>34x20 (4 court) (3 pole)</v>
      </c>
      <c r="C60">
        <v>34</v>
      </c>
      <c r="D60">
        <v>20</v>
      </c>
      <c r="E60">
        <v>3</v>
      </c>
      <c r="F60" t="s">
        <v>14</v>
      </c>
      <c r="G60">
        <f>ROUNDUP(G$59/$J60*$I60,0)</f>
        <v>20</v>
      </c>
      <c r="H60">
        <f>ROUNDUP(H$59/$J60*$I60,0)</f>
        <v>14</v>
      </c>
      <c r="I60" s="1">
        <v>8</v>
      </c>
      <c r="J60" s="1">
        <f>AVERAGE(299,313,298,316)</f>
        <v>306.5</v>
      </c>
      <c r="K60">
        <v>12</v>
      </c>
      <c r="L60">
        <f>C60*D60</f>
        <v>680</v>
      </c>
    </row>
    <row r="63" spans="2:12" x14ac:dyDescent="0.25">
      <c r="B63" s="2" t="s">
        <v>16</v>
      </c>
      <c r="C63" s="2" t="s">
        <v>1</v>
      </c>
      <c r="D63" s="2" t="s">
        <v>2</v>
      </c>
      <c r="E63" s="2" t="s">
        <v>7</v>
      </c>
      <c r="F63" s="2" t="s">
        <v>3</v>
      </c>
      <c r="G63" s="2" t="s">
        <v>4</v>
      </c>
      <c r="H63" s="2" t="s">
        <v>5</v>
      </c>
      <c r="I63" s="2" t="s">
        <v>6</v>
      </c>
      <c r="J63" s="2" t="s">
        <v>19</v>
      </c>
      <c r="K63" s="2" t="s">
        <v>8</v>
      </c>
      <c r="L63" s="2" t="s">
        <v>10</v>
      </c>
    </row>
    <row r="64" spans="2:12" x14ac:dyDescent="0.25">
      <c r="B64" s="3" t="s">
        <v>9</v>
      </c>
      <c r="C64" s="3"/>
      <c r="D64" s="3"/>
      <c r="E64" s="3"/>
      <c r="F64" s="3" t="s">
        <v>14</v>
      </c>
      <c r="G64" s="3" t="s">
        <v>14</v>
      </c>
      <c r="H64" s="3">
        <v>300</v>
      </c>
      <c r="I64" s="3">
        <v>200</v>
      </c>
      <c r="J64" s="3"/>
      <c r="K64" s="3"/>
      <c r="L64" s="3"/>
    </row>
    <row r="65" spans="2:12" x14ac:dyDescent="0.25">
      <c r="B65" t="str">
        <f>_xlfn.CONCAT(C65,"x",D65," (",E65," pole)")</f>
        <v>62x54 (4 pole)</v>
      </c>
      <c r="C65">
        <v>62</v>
      </c>
      <c r="D65">
        <v>54</v>
      </c>
      <c r="E65">
        <v>4</v>
      </c>
      <c r="F65" t="s">
        <v>14</v>
      </c>
      <c r="G65" t="s">
        <v>14</v>
      </c>
      <c r="H65">
        <f>ROUNDUP(H$64/$J65*$I65,0)</f>
        <v>37</v>
      </c>
      <c r="I65" s="1">
        <v>22</v>
      </c>
      <c r="J65" s="1">
        <v>181</v>
      </c>
      <c r="K65">
        <v>17</v>
      </c>
      <c r="L65">
        <f>C65*D65</f>
        <v>3348</v>
      </c>
    </row>
    <row r="68" spans="2:12" x14ac:dyDescent="0.25">
      <c r="B68" s="2" t="s">
        <v>17</v>
      </c>
      <c r="C68" s="2" t="s">
        <v>1</v>
      </c>
      <c r="D68" s="2" t="s">
        <v>2</v>
      </c>
      <c r="E68" s="2" t="s">
        <v>7</v>
      </c>
      <c r="F68" s="2" t="s">
        <v>3</v>
      </c>
      <c r="G68" s="2" t="s">
        <v>4</v>
      </c>
      <c r="H68" s="2" t="s">
        <v>5</v>
      </c>
      <c r="I68" s="2" t="s">
        <v>6</v>
      </c>
      <c r="J68" s="2" t="s">
        <v>19</v>
      </c>
      <c r="K68" s="2" t="s">
        <v>8</v>
      </c>
      <c r="L68" s="2" t="s">
        <v>10</v>
      </c>
    </row>
    <row r="69" spans="2:12" x14ac:dyDescent="0.25">
      <c r="B69" s="3" t="s">
        <v>9</v>
      </c>
      <c r="C69" s="3"/>
      <c r="D69" s="3"/>
      <c r="E69" s="3"/>
      <c r="F69" s="3" t="s">
        <v>14</v>
      </c>
      <c r="G69" s="3" t="s">
        <v>14</v>
      </c>
      <c r="H69" s="3">
        <v>300</v>
      </c>
      <c r="I69" s="3">
        <v>200</v>
      </c>
      <c r="J69" s="3"/>
      <c r="K69" s="3"/>
      <c r="L69" s="3"/>
    </row>
    <row r="70" spans="2:12" x14ac:dyDescent="0.25">
      <c r="B70" t="str">
        <f>_xlfn.CONCAT(C70,"x",D70," (",E70," pole)")</f>
        <v>34x19 (2 pole)</v>
      </c>
      <c r="C70">
        <v>34</v>
      </c>
      <c r="D70">
        <v>19</v>
      </c>
      <c r="E70">
        <v>2</v>
      </c>
      <c r="F70" t="s">
        <v>14</v>
      </c>
      <c r="G70" t="s">
        <v>14</v>
      </c>
      <c r="H70">
        <f>ROUNDUP(H$69/$J70*$I70,0)</f>
        <v>10</v>
      </c>
      <c r="I70" s="1">
        <v>6</v>
      </c>
      <c r="J70" s="1">
        <v>183</v>
      </c>
      <c r="K70">
        <v>10</v>
      </c>
      <c r="L70">
        <f>C70*D70</f>
        <v>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Bosco</dc:creator>
  <cp:lastModifiedBy>Philippe Bosco</cp:lastModifiedBy>
  <dcterms:created xsi:type="dcterms:W3CDTF">2026-05-12T19:29:57Z</dcterms:created>
  <dcterms:modified xsi:type="dcterms:W3CDTF">2026-05-13T17:29:31Z</dcterms:modified>
</cp:coreProperties>
</file>